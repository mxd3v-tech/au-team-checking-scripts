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shamedvedev/Library/Mobile Documents/com~apple~CloudDocs/Work/au_team/Экзамен/Результаты/"/>
    </mc:Choice>
  </mc:AlternateContent>
  <xr:revisionPtr revIDLastSave="0" documentId="13_ncr:1_{FDED3669-5685-EB46-8D8D-69213A16CB00}" xr6:coauthVersionLast="47" xr6:coauthVersionMax="47" xr10:uidLastSave="{00000000-0000-0000-0000-000000000000}"/>
  <bookViews>
    <workbookView xWindow="1100" yWindow="820" windowWidth="28040" windowHeight="17100" xr2:uid="{0FBC5009-3D45-CE46-97BD-6DBCF23F235C}"/>
  </bookViews>
  <sheets>
    <sheet name="MOD-1" sheetId="3" r:id="rId1"/>
    <sheet name="MOD-2" sheetId="1" r:id="rId2"/>
    <sheet name="MOD-3" sheetId="2" r:id="rId3"/>
    <sheet name="ИТОГ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4" l="1"/>
  <c r="F22" i="4" s="1"/>
  <c r="F9" i="4"/>
  <c r="E3" i="4"/>
  <c r="F3" i="4" s="1"/>
  <c r="E4" i="4"/>
  <c r="F4" i="4" s="1"/>
  <c r="E5" i="4"/>
  <c r="F5" i="4" s="1"/>
  <c r="E6" i="4"/>
  <c r="F6" i="4" s="1"/>
  <c r="E7" i="4"/>
  <c r="F7" i="4" s="1"/>
  <c r="E8" i="4"/>
  <c r="F8" i="4" s="1"/>
  <c r="E9" i="4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" i="4"/>
  <c r="F2" i="4" s="1"/>
</calcChain>
</file>

<file path=xl/sharedStrings.xml><?xml version="1.0" encoding="utf-8"?>
<sst xmlns="http://schemas.openxmlformats.org/spreadsheetml/2006/main" count="384" uniqueCount="103">
  <si>
    <t>Имя пользователя</t>
  </si>
  <si>
    <t>Вариант</t>
  </si>
  <si>
    <t>Student-m2-01</t>
  </si>
  <si>
    <t>test_m2v1</t>
  </si>
  <si>
    <t>Student-m2-02</t>
  </si>
  <si>
    <t>Student-m2-03</t>
  </si>
  <si>
    <t>Student-m2-04</t>
  </si>
  <si>
    <t>Student-m2-05</t>
  </si>
  <si>
    <t>Student-m2-06</t>
  </si>
  <si>
    <t>Student-m2-07</t>
  </si>
  <si>
    <t>Student-m2-08</t>
  </si>
  <si>
    <t>Student-m2-09</t>
  </si>
  <si>
    <t>Student-m2-10</t>
  </si>
  <si>
    <t>Student-m2-11</t>
  </si>
  <si>
    <t>Student-m2-13</t>
  </si>
  <si>
    <t>Student-m2-14</t>
  </si>
  <si>
    <t>Student-m2-15</t>
  </si>
  <si>
    <t>Student-m2-16</t>
  </si>
  <si>
    <t>Student-m2-17</t>
  </si>
  <si>
    <t>Student-m2-18</t>
  </si>
  <si>
    <t>Student-m2-19</t>
  </si>
  <si>
    <t>Student-m2-20</t>
  </si>
  <si>
    <t>Student-m2-12</t>
  </si>
  <si>
    <t>test_m3v1</t>
  </si>
  <si>
    <t>Student-m1-01</t>
  </si>
  <si>
    <t>test_m1v1</t>
  </si>
  <si>
    <t>Student-m1-02</t>
  </si>
  <si>
    <t>Student-m1-03</t>
  </si>
  <si>
    <t>Student-m1-04</t>
  </si>
  <si>
    <t>Student-m1-05</t>
  </si>
  <si>
    <t>Student-m1-06</t>
  </si>
  <si>
    <t>Student-m1-07</t>
  </si>
  <si>
    <t>Student-m1-08</t>
  </si>
  <si>
    <t>Student-m1-09</t>
  </si>
  <si>
    <t>Student-m1-10</t>
  </si>
  <si>
    <t>Student-m1-11</t>
  </si>
  <si>
    <t>Student-m1-12</t>
  </si>
  <si>
    <t>Student-m1-13</t>
  </si>
  <si>
    <t>Student-m1-14</t>
  </si>
  <si>
    <t>Student-m1-15</t>
  </si>
  <si>
    <t>Student-m1-16</t>
  </si>
  <si>
    <t>Student-m1-17</t>
  </si>
  <si>
    <t>Student-m1-18</t>
  </si>
  <si>
    <t>Student-m1-19</t>
  </si>
  <si>
    <t>Student-m1-20</t>
  </si>
  <si>
    <t>ФИО</t>
  </si>
  <si>
    <t>Колледж</t>
  </si>
  <si>
    <t>Журжа София Сергеевна</t>
  </si>
  <si>
    <t>ГБПОУ КП Nº 11</t>
  </si>
  <si>
    <t>Кошелев Максим Алексеевич</t>
  </si>
  <si>
    <t>ГБПОУ КАИТ Nº 20</t>
  </si>
  <si>
    <t>Линник Николай Александрович</t>
  </si>
  <si>
    <t>Ефремов Андрей Сергеевич</t>
  </si>
  <si>
    <t>ГБПОУ КС Nº 54</t>
  </si>
  <si>
    <t>Аносов Игорь Андреевич</t>
  </si>
  <si>
    <t>иная</t>
  </si>
  <si>
    <t>Коханный Максим Владимирович</t>
  </si>
  <si>
    <t>Гладков Даниил Алексеевич</t>
  </si>
  <si>
    <t>Бодаев Михаил Михайлович</t>
  </si>
  <si>
    <t>Тиньков Сергей Сергеевич</t>
  </si>
  <si>
    <t>ГБПОУ МИК</t>
  </si>
  <si>
    <t>Архипова Мария Сергеевна</t>
  </si>
  <si>
    <t>ГБПОУ ИТ.МОСКВА</t>
  </si>
  <si>
    <t>Лобов Владимир Сергеевич</t>
  </si>
  <si>
    <t>Митякин Глеб Ильич</t>
  </si>
  <si>
    <t>Мамедов Дмитрий Сехранович</t>
  </si>
  <si>
    <t>ГБПОУ Колледж «Царицыно»</t>
  </si>
  <si>
    <t>Спирин Иван Дмитриевич</t>
  </si>
  <si>
    <t>Черных Никита Олегович</t>
  </si>
  <si>
    <t>Деркач Фёдор Вадимович</t>
  </si>
  <si>
    <t>Серегин Максим Андреевич</t>
  </si>
  <si>
    <t>Серкин Даниил Андреевич</t>
  </si>
  <si>
    <t xml:space="preserve">ГБПОУ МИК </t>
  </si>
  <si>
    <t>Янковский Артем Андреевич</t>
  </si>
  <si>
    <t>Деев Константин Юрьевич</t>
  </si>
  <si>
    <t>Наумед Сергей Александрович</t>
  </si>
  <si>
    <t>ГБПОУ КВТ</t>
  </si>
  <si>
    <t>Итог по логам</t>
  </si>
  <si>
    <t>📊 ИТОГОВЫЙ ОТЧЁТ:
============================================================
Пункт 1: FQDN: ❌ НЕ ПРОЙДЕН
Пункт 2: IPv4-адресация: ❌ НЕ ПРОЙДЕН
Пункт 3: Учётные записи: ✅ ПРОЙДЕН
Пункт 4: Коммутация: ✅ ПРОЙДЕН
Пункт 5: Безопасный SSH: ❌ НЕ ПРОЙДЕН
Пункт 6: Интерфейсы на RTR: ✅ ПРОЙДЕН
Пункт 7: GRE-туннель: ❌ НЕ ПРОЙДЕН
Пункт 8: OSPF: ❌ НЕ ПРОЙДЕН
Пункт 9: NAT: ❌ НЕ ПРОЙДЕН
Пункт 10: DHCP: ✅ ПРОЙДЕН
Пункт 11: DNS: ❌ НЕ ПРОЙДЕН
Пункт 12: Пинги по FQDN: ❌ НЕ ПРОЙДЕН
Пункт 13: Проверка ISP: ❌ НЕ ПРОЙДЕН</t>
  </si>
  <si>
    <t>📊 ИТОГОВЫЙ ОТЧЁТ:
============================================================
Пункт 1: FQDN: ✅ ПРОЙДЕН
Пункт 2: IPv4-адресация: ❌ НЕ ПРОЙДЕН
Пункт 3: Учётные записи: ✅ ПРОЙДЕН
Пункт 4: Коммутация: ✅ ПРОЙДЕН
Пункт 5: Безопасный SSH: ❌ НЕ ПРОЙДЕН
Пункт 6: Интерфейсы на RTR: ✅ ПРОЙДЕН
Пункт 7: GRE-туннель: ❌ НЕ ПРОЙДЕН
Пункт 8: OSPF: ❌ НЕ ПРОЙДЕН
Пункт 9: NAT: ❌ НЕ ПРОЙДЕН
Пункт 10: DHCP: ✅ ПРОЙДЕН
Пункт 11: DNS: ❌ НЕ ПРОЙДЕН
Пункт 12: Пинги по FQDN: ❌ НЕ ПРОЙДЕН
Пункт 13: Проверка ISP: ❌ НЕ ПРОЙДЕН</t>
  </si>
  <si>
    <t>📊 ИТОГОВЫЙ ОТЧЁТ:
============================================================
Пункт 1: FQDN: ✅ ПРОЙДЕН
Пункт 2: IPv4-адресация: ❌ НЕ ПРОЙДЕН
Пункт 3: Учётные записи: ❌ НЕ ПРОЙДЕН
Пункт 4: Коммутация: ✅ ПРОЙДЕН
Пункт 5: Безопасный SSH: ❌ НЕ ПРОЙДЕН
Пункт 6: Интерфейсы на RTR: ❌ НЕ ПРОЙДЕН
Пункт 7: GRE-туннель: ❌ НЕ ПРОЙДЕН
Пункт 8: OSPF: ❌ НЕ ПРОЙДЕН
Пункт 9: NAT: ❌ НЕ ПРОЙДЕН
Пункт 10: DHCP: ❌ НЕ ПРОЙДЕН
Пункт 11: DNS: ❌ НЕ ПРОЙДЕН
Пункт 12: Пинги по FQDN: ❌ НЕ ПРОЙДЕН
Пункт 13: Проверка ISP: ❌ НЕ ПРОЙДЕН</t>
  </si>
  <si>
    <t>📊 ИТОГОВЫЙ ОТЧЁТ:
============================================================
Пункт 1: FQDN: ✅ ПРОЙДЕН
Пункт 2: IPv4-адресация: ❌ НЕ ПРОЙДЕН
Пункт 3: Учётные записи: ✅ ПРОЙДЕН
Пункт 4: Коммутация: ✅ ПРОЙДЕН
Пункт 5: Безопасный SSH: ❌ НЕ ПРОЙДЕН
Пункт 6: Интерфейсы на RTR: ✅ ПРОЙДЕН
Пункт 7: GRE-туннель: ❌ НЕ ПРОЙДЕН
Пункт 8: OSPF: ❌ НЕ ПРОЙДЕН
Пункт 9: NAT: ❌ НЕ ПРОЙДЕН
Пункт 10: DHCP: ✅ ПРОЙДЕН
Пункт 11: DNS: ❌ НЕ ПРОЙДЕН
Пункт 12: Пинги по FQDN: ❌ НЕ ПРОЙДЕН
Пункт 13: Проверка ISP: ✅ ПРОЙДЕН</t>
  </si>
  <si>
    <t>📊 ИТОГОВЫЙ ОТЧЁТ:
============================================================
Пункт 1: FQDN: ✅ ПРОЙДЕН
Пункт 2: IPv4-адресация: ✅ ПРОЙДЕН
Пункт 3: Учётные записи: ✅ ПРОЙДЕН
Пункт 4: Коммутация: ✅ ПРОЙДЕН
Пункт 5: Безопасный SSH: ❌ НЕ ПРОЙДЕН
Пункт 6: Интерфейсы на RTR: ✅ ПРОЙДЕН
Пункт 7: GRE-туннель: ❌ НЕ ПРОЙДЕН
Пункт 8: OSPF: ❌ НЕ ПРОЙДЕН
Пункт 9: NAT: ❌ НЕ ПРОЙДЕН
Пункт 10: DHCP: ✅ ПРОЙДЕН
Пункт 11: DNS: ❌ НЕ ПРОЙДЕН
Пункт 12: Пинги по FQDN: ❌ НЕ ПРОЙДЕН
Пункт 13: Проверка ISP: ❌ НЕ ПРОЙДЕН</t>
  </si>
  <si>
    <t>📊 ИТОГОВЫЙ ОТЧЁТ:
============================================================
Пункт 1: FQDN: ❌ НЕ ПРОЙДЕН
Пункт 2: IPv4-адресация: ❌ НЕ ПРОЙДЕН
Пункт 3: Учётные записи: ❌ НЕ ПРОЙДЕН
Пункт 4: Коммутация: ❌ НЕ ПРОЙДЕН
Пункт 5: Безопасный SSH: ❌ НЕ ПРОЙДЕН
Пункт 6: Интерфейсы на RTR: ❌ НЕ ПРОЙДЕН
Пункт 7: GRE-туннель: ❌ НЕ ПРОЙДЕН
Пункт 8: OSPF: ❌ НЕ ПРОЙДЕН
Пункт 9: NAT: ❌ НЕ ПРОЙДЕН
Пункт 10: DHCP: ❌ НЕ ПРОЙДЕН
Пункт 11: DNS: ❌ НЕ ПРОЙДЕН
Пункт 12: Пинги по FQDN: ❌ НЕ ПРОЙДЕН
Пункт 13: Проверка ISP: ❌ НЕ ПРОЙДЕН</t>
  </si>
  <si>
    <t>📊 ИТОГОВЫЙ ОТЧЁТ:
============================================================
Пункт 1: FQDN: ✅ ПРОЙДЕН
Пункт 2: IPv4-адресация: ✅ ПРОЙДЕН
Пункт 3: Учётные записи: ✅ ПРОЙДЕН
Пункт 4: Коммутация: ✅ ПРОЙДЕН
Пункт 5: Безопасный SSH: ❌ НЕ ПРОЙДЕН
Пункт 6: Интерфейсы на RTR: ✅ ПРОЙДЕН
Пункт 7: GRE-туннель: ❌ НЕ ПРОЙДЕН
Пункт 8: OSPF: ✅ ПРОЙДЕН
Пункт 9: NAT: ❌ НЕ ПРОЙДЕН
Пункт 10: DHCP: ✅ ПРОЙДЕН
Пункт 11: DNS: ❌ НЕ ПРОЙДЕН
Пункт 12: Пинги по FQDN: ❌ НЕ ПРОЙДЕН
Пункт 13: Проверка ISP: ❌ НЕ ПРОЙДЕН</t>
  </si>
  <si>
    <t>Балл по критериям (МАКС 25)</t>
  </si>
  <si>
    <t>📊 ИТОГОВЫЙ ОТЧЁТ:
============================================================
Пункт 1: Samba DC: ❌ НЕ ПРОЙДЕН
Пункт 2: RAID 0: ✅ ПРОЙДЕН
Пункт 3: NFS: ❌ НЕ ПРОЙДЕН
Пункт 4: Chrony: ❌ НЕ ПРОЙДЕН
Пункт 5: Ansible: ❌ НЕ ПРОЙДЕН
Пункт 6: Docker: ✅ ПРОЙДЕН
Пункт 7: Веб-приложение: ❌ НЕ ПРОЙДЕН
Пункт 8: Nginx Reverse Proxy: ✅ ПРОЙДЕН
Пункт 9: Web Auth: ❌ НЕ ПРОЙДЕН
Пункт 10: Yandex Browser: ✅ ПРОЙДЕН
📈 Выполнено 4.00 из 10.00 пунктов.</t>
  </si>
  <si>
    <t>📊 ИТОГОВЫЙ ОТЧЁТ:
============================================================
Пункт 1: Samba DC: ❌ НЕ ПРОЙДЕН
Пункт 2: RAID 0: ✅ ПРОЙДЕН
Пункт 3: NFS: ❌ НЕ ПРОЙДЕН
Пункт 4: Chrony: ❌ НЕ ПРОЙДЕН
Пункт 5: Ansible: ❌ НЕ ПРОЙДЕН
Пункт 6: Docker: ❌ НЕ ПРОЙДЕН
Пункт 7: Веб-приложение: ❌ НЕ ПРОЙДЕН
Пункт 8: Nginx Reverse Proxy: ✅ ПРОЙДЕН
Пункт 9: Web Auth: ❌ НЕ ПРОЙДЕН
Пункт 10: Yandex Browser: ✅ ПРОЙДЕН
📈 Выполнено 3.00 из 10.00 пунктов.</t>
  </si>
  <si>
    <t>📊 ИТОГОВЫЙ ОТЧЁТ:
============================================================
Пункт 1: Samba DC: ❌ НЕ ПРОЙДЕН
Пункт 2: RAID 0: ✅ ПРОЙДЕН
Пункт 3: NFS: ✅ ПРОЙДЕН
Пункт 4: Chrony: ❌ НЕ ПРОЙДЕН
Пункт 5: Ansible: ❌ НЕ ПРОЙДЕН
Пункт 6: Docker: ✅ ПРОЙДЕН
Пункт 7: Веб-приложение: ❌ НЕ ПРОЙДЕН
Пункт 8: Nginx Reverse Proxy: ✅ ПРОЙДЕН
Пункт 9: Web Auth: ❌ НЕ ПРОЙДЕН
Пункт 10: Yandex Browser: ✅ ПРОЙДЕН
📈 Выполнено 5.00 из 10.00 пунктов.</t>
  </si>
  <si>
    <t>📊 ИТОГОВЫЙ ОТЧЁТ:
============================================================
Пункт 1: Samba DC: ❌ НЕ ПРОЙДЕН
Пункт 2: RAID 0: ✅ ПРОЙДЕН
Пункт 3: NFS: ❌ НЕ ПРОЙДЕН
Пункт 4: Chrony: ❌ НЕ ПРОЙДЕН
Пункт 5: Ansible: ❌ НЕ ПРОЙДЕН
Пункт 6: Docker: ❌ НЕ ПРОЙДЕН
Пункт 7: Веб-приложение: ❌ НЕ ПРОЙДЕН
Пункт 8: Nginx Reverse Proxy: ✅ ПРОЙДЕН
Пункт 9: Web Auth: ❌ НЕ ПРОЙДЕН
Пункт 10: Yandex Browser: ❌ НЕ ПРОЙДЕН
📈 Выполнено 2.00 из 10.00 пунктов.</t>
  </si>
  <si>
    <t>📊 ИТОГОВЫЙ ОТЧЁТ:
============================================================
Пункт 1: Samba DC: ❌ НЕ ПРОЙДЕН
Пункт 2: RAID 0: ✅ ПРОЙДЕН
Пункт 3: NFS: ✅ ПРОЙДЕН
Пункт 4: Chrony: ❌ НЕ ПРОЙДЕН
Пункт 5: Ansible: ❌ НЕ ПРОЙДЕН
Пункт 6: Docker: ❌ НЕ ПРОЙДЕН
Пункт 7: Веб-приложение: ❌ НЕ ПРОЙДЕН
Пункт 8: Nginx Reverse Proxy: ✅ ПРОЙДЕН
Пункт 9: Web Auth: ✅ ПРОЙДЕН
Пункт 10: Yandex Browser: ✅ ПРОЙДЕН
📈 Выполнено 5.00 из 10.00 пунктов.</t>
  </si>
  <si>
    <t>📊 ИТОГОВЫЙ ОТЧЁТ:
============================================================
Пункт 1: FQDN: ❌ НЕ ПРОЙДЕН
Пункт 2: IPv4-адресация: ❌ НЕ ПРОЙДЕН
Пункт 3: Учётные записи: ✅ ПРОЙДЕН
Пункт 4: Коммутация: ✅ ПРОЙДЕН
Пункт 5: Безопасный SSH: ❌ НЕ ПРОЙДЕН
Пункт 6: Интерфейсы на RTR: ✅ ПРОЙДЕН
Пункт 7: GRE-туннель: ❌ НЕ ПРОЙДЕН
Пункт 8: OSPF: ❌ НЕ ПРОЙДЕН
Пункт 9: NAT: ❌ НЕ ПРОЙДЕН
Пункт 10: DHCP: ✅ ПРОЙДЕН
Пункт 11: DNS: ❌ НЕ ПРОЙДЕН
Пункт 12: Пинги по FQDN: ❌ НЕ ПРОЙДЕН
Пункт 13: Проверка ISP: ❌ НЕ ПРОЙДЕН
📈 Выполнено 4 из 13 пунктов.</t>
  </si>
  <si>
    <t>📊 ИТОГОВЫЙ ОТЧЁТ:
============================================================
Пункт 1: Импорт пользователей: ❌ НЕ ПРОЙДЕН
Пункт 2: Центр сертификации: ❌ НЕ ПРОЙДЕН
Пункт 3: IPsec: ✅ ПРОЙДЕН
Пункт 4: Межсетевой экран: ✅ ПРОЙДЕН
Пункт 5: CUPS: ❌ НЕ ПРОЙДЕН
Пункт 6: Syslog: ❌ НЕ ПРОЙДЕН
Пункт 7: Zabbix: ❌ НЕ ПРОЙДЕН
Пункт 8: Ansible инвентаризация: ❌ НЕ ПРОЙДЕН
Пункт 9: PAM/fail2ban: ❌ НЕ ПРОЙДЕН
Пункт 10: Резервное копирование: ❌ НЕ ПРОЙДЕН
📈 Выполнено 2.00 из 10.00 пунктов.</t>
  </si>
  <si>
    <t>📊 ИТОГОВЫЙ ОТЧЁТ:
============================================================
Пункт 1: Импорт пользователей: ✅ ПРОЙДЕН
Пункт 2: Центр сертификации: ❌ НЕ ПРОЙДЕН
Пункт 3: IPsec: ❌ НЕ ПРОЙДЕН
Пункт 4: Межсетевой экран: ✅ ПРОЙДЕН
Пункт 5: CUPS: ❌ НЕ ПРОЙДЕН
Пункт 6: Syslog: ❌ НЕ ПРОЙДЕН
Пункт 7: Zabbix: ❌ НЕ ПРОЙДЕН
Пункт 8: Ansible инвентаризация: ❌ НЕ ПРОЙДЕН
Пункт 9: PAM/fail2ban: ❌ НЕ ПРОЙДЕН
Пункт 10: Резервное копирование: ❌ НЕ ПРОЙДЕН
📈 Выполнено 2.00 из 10.00 пунктов.</t>
  </si>
  <si>
    <t>📊 ИТОГОВЫЙ ОТЧЁТ:
============================================================
Пункт 1: Импорт пользователей: ❌ НЕ ПРОЙДЕН
Пункт 2: Центр сертификации: ❌ НЕ ПРОЙДЕН
Пункт 3: IPsec: ✅ ПРОЙДЕН
Пункт 4: Межсетевой экран: ✅ ПРОЙДЕН
Пункт 5: CUPS: ✅ ПРОЙДЕН
Пункт 6: Syslog: ❌ НЕ ПРОЙДЕН
Пункт 7: Zabbix: ❌ НЕ ПРОЙДЕН
Пункт 8: Ansible инвентаризация: ❌ НЕ ПРОЙДЕН
Пункт 9: PAM/fail2ban: ❌ НЕ ПРОЙДЕН
Пункт 10: Резервное копирование: ❌ НЕ ПРОЙДЕН
📈 Выполнено 3.00 из 10.00 пунктов.</t>
  </si>
  <si>
    <t>📊 ИТОГОВЫЙ ОТЧЁТ:
============================================================
Пункт 1: Импорт пользователей: ✅ ПРОЙДЕН
Пункт 2: Центр сертификации: ❌ НЕ ПРОЙДЕН
Пункт 3: IPsec: ✅ ПРОЙДЕН
Пункт 4: Межсетевой экран: ✅ ПРОЙДЕН
Пункт 5: CUPS: ✅ ПРОЙДЕН
Пункт 6: Syslog: ❌ НЕ ПРОЙДЕН
Пункт 7: Zabbix: ❌ НЕ ПРОЙДЕН
Пункт 8: Ansible инвентаризация: ❌ НЕ ПРОЙДЕН
Пункт 9: PAM/fail2ban: ❌ НЕ ПРОЙДЕН
Пункт 10: Резервное копирование: ❌ НЕ ПРОЙДЕН
📈 Выполнено 4.00 из 10.00 пунктов.</t>
  </si>
  <si>
    <t>📊 ИТОГОВЫЙ ОТЧЁТ:
============================================================
Пункт 1: Импорт пользователей: ❌ НЕ ПРОЙДЕН
Пункт 2: Центр сертификации: ❌ НЕ ПРОЙДЕН
Пункт 3: IPsec: ❌ НЕ ПРОЙДЕН
Пункт 4: Межсетевой экран: ✅ ПРОЙДЕН
Пункт 5: CUPS: ✅ ПРОЙДЕН
Пункт 6: Syslog: ❌ НЕ ПРОЙДЕН
Пункт 7: Zabbix: ❌ НЕ ПРОЙДЕН
Пункт 8: Ansible инвентаризация: ❌ НЕ ПРОЙДЕН
Пункт 9: PAM/fail2ban: ❌ НЕ ПРОЙДЕН
Пункт 10: Резервное копирование: ❌ НЕ ПРОЙДЕН
📈 Выполнено 2.00 из 10.00 пунктов.</t>
  </si>
  <si>
    <t>Финальная сумма по всем модулям)</t>
  </si>
  <si>
    <t>Процент выполнения</t>
  </si>
  <si>
    <t>Пункты задания (МАКС 13)</t>
  </si>
  <si>
    <t>Пункты задания (МАКС 10)</t>
  </si>
  <si>
    <t>Student-m2-21</t>
  </si>
  <si>
    <t>Student-m1-21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</si>
</sst>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 applyAlignment="1">
      <alignment wrapText="1"/>
    </xf>
    <xf numFmtId="2" fontId="0" fillId="0" borderId="1" xfId="0" applyNumberFormat="1" applyBorder="1"/>
    <xf numFmtId="2" fontId="0" fillId="0" borderId="0" xfId="0" applyNumberFormat="1"/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C606-D0D5-2F43-9CAF-9FF9A36EB706}">
  <dimension ref="A1:G22"/>
  <sheetViews>
    <sheetView tabSelected="1" topLeftCell="A21" zoomScale="111" workbookViewId="0">
      <selection activeCell="H23" sqref="H23"/>
    </sheetView>
  </sheetViews>
  <sheetFormatPr baseColWidth="10" defaultRowHeight="16" x14ac:dyDescent="0.2"/>
  <cols>
    <col min="1" max="1" width="30.6640625" customWidth="1"/>
    <col min="2" max="2" width="24.6640625" customWidth="1"/>
    <col min="3" max="3" width="16" customWidth="1"/>
    <col min="5" max="5" width="15.5" customWidth="1"/>
    <col min="6" max="6" width="21.83203125" customWidth="1"/>
    <col min="7" max="7" width="47.1640625" customWidth="1"/>
    <col min="8" max="8" width="25.6640625" customWidth="1"/>
  </cols>
  <sheetData>
    <row r="1" spans="1:7" ht="34" x14ac:dyDescent="0.2">
      <c r="A1" s="2" t="s">
        <v>45</v>
      </c>
      <c r="B1" s="2" t="s">
        <v>46</v>
      </c>
      <c r="C1" s="2" t="s">
        <v>0</v>
      </c>
      <c r="D1" s="2" t="s">
        <v>1</v>
      </c>
      <c r="E1" s="2" t="s">
        <v>99</v>
      </c>
      <c r="F1" s="2" t="s">
        <v>85</v>
      </c>
      <c r="G1" s="2" t="s">
        <v>77</v>
      </c>
    </row>
    <row r="2" spans="1:7" ht="272" x14ac:dyDescent="0.2">
      <c r="A2" s="3" t="s">
        <v>69</v>
      </c>
      <c r="B2" s="3" t="s">
        <v>50</v>
      </c>
      <c r="C2" s="3" t="s">
        <v>24</v>
      </c>
      <c r="D2" s="3" t="s">
        <v>25</v>
      </c>
      <c r="E2" s="3">
        <v>4</v>
      </c>
      <c r="F2" s="3">
        <v>7</v>
      </c>
      <c r="G2" s="3" t="s">
        <v>78</v>
      </c>
    </row>
    <row r="3" spans="1:7" ht="272" x14ac:dyDescent="0.2">
      <c r="A3" s="3" t="s">
        <v>68</v>
      </c>
      <c r="B3" s="3" t="s">
        <v>55</v>
      </c>
      <c r="C3" s="3" t="s">
        <v>26</v>
      </c>
      <c r="D3" s="3" t="s">
        <v>25</v>
      </c>
      <c r="E3" s="3">
        <v>4</v>
      </c>
      <c r="F3" s="3">
        <v>7</v>
      </c>
      <c r="G3" s="3" t="s">
        <v>78</v>
      </c>
    </row>
    <row r="4" spans="1:7" ht="272" x14ac:dyDescent="0.2">
      <c r="A4" s="3" t="s">
        <v>65</v>
      </c>
      <c r="B4" s="3" t="s">
        <v>55</v>
      </c>
      <c r="C4" s="3" t="s">
        <v>27</v>
      </c>
      <c r="D4" s="3" t="s">
        <v>25</v>
      </c>
      <c r="E4" s="3">
        <v>4</v>
      </c>
      <c r="F4" s="3">
        <v>7</v>
      </c>
      <c r="G4" s="3" t="s">
        <v>78</v>
      </c>
    </row>
    <row r="5" spans="1:7" ht="272" x14ac:dyDescent="0.2">
      <c r="A5" s="3" t="s">
        <v>70</v>
      </c>
      <c r="B5" s="3" t="s">
        <v>66</v>
      </c>
      <c r="C5" s="3" t="s">
        <v>28</v>
      </c>
      <c r="D5" s="3" t="s">
        <v>25</v>
      </c>
      <c r="E5" s="3">
        <v>4</v>
      </c>
      <c r="F5" s="3">
        <v>7</v>
      </c>
      <c r="G5" s="3" t="s">
        <v>78</v>
      </c>
    </row>
    <row r="6" spans="1:7" ht="272" x14ac:dyDescent="0.2">
      <c r="A6" s="3" t="s">
        <v>67</v>
      </c>
      <c r="B6" s="3" t="s">
        <v>66</v>
      </c>
      <c r="C6" s="3" t="s">
        <v>29</v>
      </c>
      <c r="D6" s="3" t="s">
        <v>25</v>
      </c>
      <c r="E6" s="3">
        <v>4</v>
      </c>
      <c r="F6" s="3">
        <v>7</v>
      </c>
      <c r="G6" s="3" t="s">
        <v>78</v>
      </c>
    </row>
    <row r="7" spans="1:7" ht="272" x14ac:dyDescent="0.2">
      <c r="A7" s="3" t="s">
        <v>52</v>
      </c>
      <c r="B7" s="3" t="s">
        <v>53</v>
      </c>
      <c r="C7" s="3" t="s">
        <v>30</v>
      </c>
      <c r="D7" s="3" t="s">
        <v>25</v>
      </c>
      <c r="E7" s="3">
        <v>5</v>
      </c>
      <c r="F7" s="3">
        <v>8</v>
      </c>
      <c r="G7" s="3" t="s">
        <v>79</v>
      </c>
    </row>
    <row r="8" spans="1:7" ht="272" x14ac:dyDescent="0.2">
      <c r="A8" s="3" t="s">
        <v>57</v>
      </c>
      <c r="B8" s="3" t="s">
        <v>53</v>
      </c>
      <c r="C8" s="3" t="s">
        <v>31</v>
      </c>
      <c r="D8" s="3" t="s">
        <v>25</v>
      </c>
      <c r="E8" s="3">
        <v>4</v>
      </c>
      <c r="F8" s="3">
        <v>7</v>
      </c>
      <c r="G8" s="3" t="s">
        <v>78</v>
      </c>
    </row>
    <row r="9" spans="1:7" ht="272" x14ac:dyDescent="0.2">
      <c r="A9" s="3" t="s">
        <v>51</v>
      </c>
      <c r="B9" s="3" t="s">
        <v>48</v>
      </c>
      <c r="C9" s="3" t="s">
        <v>32</v>
      </c>
      <c r="D9" s="3" t="s">
        <v>25</v>
      </c>
      <c r="E9" s="3">
        <v>2</v>
      </c>
      <c r="F9" s="3">
        <v>4</v>
      </c>
      <c r="G9" s="3" t="s">
        <v>80</v>
      </c>
    </row>
    <row r="10" spans="1:7" ht="272" x14ac:dyDescent="0.2">
      <c r="A10" s="3" t="s">
        <v>58</v>
      </c>
      <c r="B10" s="3" t="s">
        <v>53</v>
      </c>
      <c r="C10" s="3" t="s">
        <v>33</v>
      </c>
      <c r="D10" s="3" t="s">
        <v>25</v>
      </c>
      <c r="E10" s="3">
        <v>5</v>
      </c>
      <c r="F10" s="3">
        <v>8</v>
      </c>
      <c r="G10" s="3" t="s">
        <v>79</v>
      </c>
    </row>
    <row r="11" spans="1:7" ht="272" x14ac:dyDescent="0.2">
      <c r="A11" s="3" t="s">
        <v>56</v>
      </c>
      <c r="B11" s="3" t="s">
        <v>55</v>
      </c>
      <c r="C11" s="3" t="s">
        <v>34</v>
      </c>
      <c r="D11" s="3" t="s">
        <v>25</v>
      </c>
      <c r="E11" s="3">
        <v>6</v>
      </c>
      <c r="F11" s="3">
        <v>8</v>
      </c>
      <c r="G11" s="3" t="s">
        <v>81</v>
      </c>
    </row>
    <row r="12" spans="1:7" ht="272" x14ac:dyDescent="0.2">
      <c r="A12" s="3" t="s">
        <v>61</v>
      </c>
      <c r="B12" s="3" t="s">
        <v>55</v>
      </c>
      <c r="C12" s="3" t="s">
        <v>35</v>
      </c>
      <c r="D12" s="3" t="s">
        <v>25</v>
      </c>
      <c r="E12" s="3">
        <v>4</v>
      </c>
      <c r="F12" s="3">
        <v>8</v>
      </c>
      <c r="G12" s="3" t="s">
        <v>78</v>
      </c>
    </row>
    <row r="13" spans="1:7" ht="272" x14ac:dyDescent="0.2">
      <c r="A13" s="3" t="s">
        <v>49</v>
      </c>
      <c r="B13" s="3" t="s">
        <v>48</v>
      </c>
      <c r="C13" s="3" t="s">
        <v>36</v>
      </c>
      <c r="D13" s="3" t="s">
        <v>25</v>
      </c>
      <c r="E13" s="3">
        <v>6</v>
      </c>
      <c r="F13" s="3">
        <v>11</v>
      </c>
      <c r="G13" s="3" t="s">
        <v>82</v>
      </c>
    </row>
    <row r="14" spans="1:7" ht="272" x14ac:dyDescent="0.2">
      <c r="A14" s="3" t="s">
        <v>71</v>
      </c>
      <c r="B14" s="3" t="s">
        <v>72</v>
      </c>
      <c r="C14" s="3" t="s">
        <v>37</v>
      </c>
      <c r="D14" s="3" t="s">
        <v>25</v>
      </c>
      <c r="E14" s="3">
        <v>4</v>
      </c>
      <c r="F14" s="3">
        <v>7</v>
      </c>
      <c r="G14" s="3" t="s">
        <v>78</v>
      </c>
    </row>
    <row r="15" spans="1:7" ht="272" x14ac:dyDescent="0.2">
      <c r="A15" s="3" t="s">
        <v>47</v>
      </c>
      <c r="B15" s="3" t="s">
        <v>48</v>
      </c>
      <c r="C15" s="3" t="s">
        <v>38</v>
      </c>
      <c r="D15" s="3" t="s">
        <v>25</v>
      </c>
      <c r="E15" s="3">
        <v>5</v>
      </c>
      <c r="F15" s="3">
        <v>7</v>
      </c>
      <c r="G15" s="3" t="s">
        <v>79</v>
      </c>
    </row>
    <row r="16" spans="1:7" ht="272" x14ac:dyDescent="0.2">
      <c r="A16" s="3" t="s">
        <v>59</v>
      </c>
      <c r="B16" s="3" t="s">
        <v>60</v>
      </c>
      <c r="C16" s="3" t="s">
        <v>39</v>
      </c>
      <c r="D16" s="3" t="s">
        <v>25</v>
      </c>
      <c r="E16" s="3">
        <v>4</v>
      </c>
      <c r="F16" s="3">
        <v>8</v>
      </c>
      <c r="G16" s="3" t="s">
        <v>78</v>
      </c>
    </row>
    <row r="17" spans="1:7" ht="272" x14ac:dyDescent="0.2">
      <c r="A17" s="3" t="s">
        <v>73</v>
      </c>
      <c r="B17" s="3" t="s">
        <v>60</v>
      </c>
      <c r="C17" s="3" t="s">
        <v>40</v>
      </c>
      <c r="D17" s="3" t="s">
        <v>25</v>
      </c>
      <c r="E17" s="3">
        <v>2</v>
      </c>
      <c r="F17" s="3">
        <v>4</v>
      </c>
      <c r="G17" s="3" t="s">
        <v>80</v>
      </c>
    </row>
    <row r="18" spans="1:7" ht="272" x14ac:dyDescent="0.2">
      <c r="A18" s="3" t="s">
        <v>63</v>
      </c>
      <c r="B18" s="3" t="s">
        <v>62</v>
      </c>
      <c r="C18" s="4" t="s">
        <v>41</v>
      </c>
      <c r="D18" s="4" t="s">
        <v>25</v>
      </c>
      <c r="E18" s="4">
        <v>0</v>
      </c>
      <c r="F18" s="3">
        <v>0</v>
      </c>
      <c r="G18" s="3" t="s">
        <v>83</v>
      </c>
    </row>
    <row r="19" spans="1:7" ht="272" x14ac:dyDescent="0.2">
      <c r="A19" s="3" t="s">
        <v>64</v>
      </c>
      <c r="B19" s="3" t="s">
        <v>62</v>
      </c>
      <c r="C19" s="3" t="s">
        <v>42</v>
      </c>
      <c r="D19" s="3" t="s">
        <v>25</v>
      </c>
      <c r="E19" s="3">
        <v>4</v>
      </c>
      <c r="F19" s="3">
        <v>7</v>
      </c>
      <c r="G19" s="3" t="s">
        <v>78</v>
      </c>
    </row>
    <row r="20" spans="1:7" ht="272" x14ac:dyDescent="0.2">
      <c r="A20" s="5" t="s">
        <v>74</v>
      </c>
      <c r="B20" s="5" t="s">
        <v>55</v>
      </c>
      <c r="C20" s="3" t="s">
        <v>43</v>
      </c>
      <c r="D20" s="3" t="s">
        <v>25</v>
      </c>
      <c r="E20" s="3">
        <v>5</v>
      </c>
      <c r="F20" s="3">
        <v>9</v>
      </c>
      <c r="G20" s="3" t="s">
        <v>79</v>
      </c>
    </row>
    <row r="21" spans="1:7" ht="272" x14ac:dyDescent="0.2">
      <c r="A21" s="3" t="s">
        <v>75</v>
      </c>
      <c r="B21" s="3" t="s">
        <v>76</v>
      </c>
      <c r="C21" s="3" t="s">
        <v>44</v>
      </c>
      <c r="D21" s="3" t="s">
        <v>25</v>
      </c>
      <c r="E21" s="3">
        <v>7</v>
      </c>
      <c r="F21" s="3">
        <v>17</v>
      </c>
      <c r="G21" s="3" t="s">
        <v>84</v>
      </c>
    </row>
    <row r="22" spans="1:7" ht="306" x14ac:dyDescent="0.2">
      <c r="A22" s="3" t="s">
        <v>54</v>
      </c>
      <c r="B22" s="3" t="s">
        <v>55</v>
      </c>
      <c r="C22" s="3" t="s">
        <v>102</v>
      </c>
      <c r="D22" s="3" t="s">
        <v>25</v>
      </c>
      <c r="E22" s="3">
        <v>4</v>
      </c>
      <c r="F22" s="3">
        <v>7</v>
      </c>
      <c r="G22" s="3" t="s">
        <v>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91F0C-61CB-BD45-A6F6-6BB7EAAA4C51}">
  <dimension ref="A1:G22"/>
  <sheetViews>
    <sheetView topLeftCell="A20" workbookViewId="0">
      <selection activeCell="D22" sqref="D22"/>
    </sheetView>
  </sheetViews>
  <sheetFormatPr baseColWidth="10" defaultRowHeight="16" x14ac:dyDescent="0.2"/>
  <cols>
    <col min="1" max="1" width="17.5" customWidth="1"/>
    <col min="3" max="3" width="20.1640625" customWidth="1"/>
    <col min="5" max="5" width="28.33203125" customWidth="1"/>
    <col min="7" max="7" width="38.6640625" customWidth="1"/>
  </cols>
  <sheetData>
    <row r="1" spans="1:7" ht="51" x14ac:dyDescent="0.2">
      <c r="A1" s="7" t="s">
        <v>45</v>
      </c>
      <c r="B1" s="7" t="s">
        <v>46</v>
      </c>
      <c r="C1" s="8" t="s">
        <v>0</v>
      </c>
      <c r="D1" s="8" t="s">
        <v>1</v>
      </c>
      <c r="E1" s="8" t="s">
        <v>100</v>
      </c>
      <c r="F1" s="7" t="s">
        <v>85</v>
      </c>
      <c r="G1" s="7" t="s">
        <v>77</v>
      </c>
    </row>
    <row r="2" spans="1:7" ht="255" x14ac:dyDescent="0.2">
      <c r="A2" s="3" t="s">
        <v>69</v>
      </c>
      <c r="B2" s="3" t="s">
        <v>50</v>
      </c>
      <c r="C2" s="9" t="s">
        <v>2</v>
      </c>
      <c r="D2" s="9" t="s">
        <v>3</v>
      </c>
      <c r="E2" s="9">
        <v>4</v>
      </c>
      <c r="F2" s="9">
        <v>12</v>
      </c>
      <c r="G2" s="3" t="s">
        <v>86</v>
      </c>
    </row>
    <row r="3" spans="1:7" ht="255" x14ac:dyDescent="0.2">
      <c r="A3" s="3" t="s">
        <v>68</v>
      </c>
      <c r="B3" s="3" t="s">
        <v>55</v>
      </c>
      <c r="C3" s="9" t="s">
        <v>4</v>
      </c>
      <c r="D3" s="9" t="s">
        <v>3</v>
      </c>
      <c r="E3" s="9">
        <v>4</v>
      </c>
      <c r="F3" s="9">
        <v>12</v>
      </c>
      <c r="G3" s="3" t="s">
        <v>86</v>
      </c>
    </row>
    <row r="4" spans="1:7" ht="255" x14ac:dyDescent="0.2">
      <c r="A4" s="3" t="s">
        <v>65</v>
      </c>
      <c r="B4" s="3" t="s">
        <v>55</v>
      </c>
      <c r="C4" s="9" t="s">
        <v>5</v>
      </c>
      <c r="D4" s="9" t="s">
        <v>3</v>
      </c>
      <c r="E4" s="9">
        <v>4</v>
      </c>
      <c r="F4" s="9">
        <v>12</v>
      </c>
      <c r="G4" s="3" t="s">
        <v>86</v>
      </c>
    </row>
    <row r="5" spans="1:7" ht="255" x14ac:dyDescent="0.2">
      <c r="A5" s="3" t="s">
        <v>70</v>
      </c>
      <c r="B5" s="3" t="s">
        <v>66</v>
      </c>
      <c r="C5" s="9" t="s">
        <v>6</v>
      </c>
      <c r="D5" s="9" t="s">
        <v>3</v>
      </c>
      <c r="E5" s="9">
        <v>3</v>
      </c>
      <c r="F5" s="9">
        <v>9</v>
      </c>
      <c r="G5" s="3" t="s">
        <v>87</v>
      </c>
    </row>
    <row r="6" spans="1:7" ht="255" x14ac:dyDescent="0.2">
      <c r="A6" s="3" t="s">
        <v>67</v>
      </c>
      <c r="B6" s="3" t="s">
        <v>66</v>
      </c>
      <c r="C6" s="9" t="s">
        <v>7</v>
      </c>
      <c r="D6" s="9" t="s">
        <v>3</v>
      </c>
      <c r="E6" s="9">
        <v>4</v>
      </c>
      <c r="F6" s="9">
        <v>11</v>
      </c>
      <c r="G6" s="3" t="s">
        <v>86</v>
      </c>
    </row>
    <row r="7" spans="1:7" ht="255" x14ac:dyDescent="0.2">
      <c r="A7" s="3" t="s">
        <v>52</v>
      </c>
      <c r="B7" s="3" t="s">
        <v>53</v>
      </c>
      <c r="C7" s="9" t="s">
        <v>8</v>
      </c>
      <c r="D7" s="9" t="s">
        <v>3</v>
      </c>
      <c r="E7" s="9">
        <v>4</v>
      </c>
      <c r="F7" s="9">
        <v>12</v>
      </c>
      <c r="G7" s="3" t="s">
        <v>86</v>
      </c>
    </row>
    <row r="8" spans="1:7" ht="255" x14ac:dyDescent="0.2">
      <c r="A8" s="3" t="s">
        <v>57</v>
      </c>
      <c r="B8" s="3" t="s">
        <v>53</v>
      </c>
      <c r="C8" s="9" t="s">
        <v>9</v>
      </c>
      <c r="D8" s="9" t="s">
        <v>3</v>
      </c>
      <c r="E8" s="9">
        <v>5</v>
      </c>
      <c r="F8" s="9">
        <v>14</v>
      </c>
      <c r="G8" s="3" t="s">
        <v>88</v>
      </c>
    </row>
    <row r="9" spans="1:7" ht="255" x14ac:dyDescent="0.2">
      <c r="A9" s="3" t="s">
        <v>51</v>
      </c>
      <c r="B9" s="3" t="s">
        <v>48</v>
      </c>
      <c r="C9" s="9" t="s">
        <v>10</v>
      </c>
      <c r="D9" s="9" t="s">
        <v>3</v>
      </c>
      <c r="E9" s="9">
        <v>2</v>
      </c>
      <c r="F9" s="9">
        <v>11</v>
      </c>
      <c r="G9" s="3" t="s">
        <v>89</v>
      </c>
    </row>
    <row r="10" spans="1:7" ht="255" x14ac:dyDescent="0.2">
      <c r="A10" s="3" t="s">
        <v>58</v>
      </c>
      <c r="B10" s="3" t="s">
        <v>53</v>
      </c>
      <c r="C10" s="9" t="s">
        <v>11</v>
      </c>
      <c r="D10" s="9" t="s">
        <v>3</v>
      </c>
      <c r="E10" s="9">
        <v>3</v>
      </c>
      <c r="F10" s="9">
        <v>12</v>
      </c>
      <c r="G10" s="3" t="s">
        <v>87</v>
      </c>
    </row>
    <row r="11" spans="1:7" ht="255" x14ac:dyDescent="0.2">
      <c r="A11" s="3" t="s">
        <v>56</v>
      </c>
      <c r="B11" s="3" t="s">
        <v>55</v>
      </c>
      <c r="C11" s="9" t="s">
        <v>12</v>
      </c>
      <c r="D11" s="9" t="s">
        <v>3</v>
      </c>
      <c r="E11" s="9">
        <v>3</v>
      </c>
      <c r="F11" s="9">
        <v>12</v>
      </c>
      <c r="G11" s="3" t="s">
        <v>87</v>
      </c>
    </row>
    <row r="12" spans="1:7" ht="255" x14ac:dyDescent="0.2">
      <c r="A12" s="3" t="s">
        <v>61</v>
      </c>
      <c r="B12" s="3" t="s">
        <v>55</v>
      </c>
      <c r="C12" s="9" t="s">
        <v>13</v>
      </c>
      <c r="D12" s="9" t="s">
        <v>3</v>
      </c>
      <c r="E12" s="9">
        <v>5</v>
      </c>
      <c r="F12" s="9">
        <v>14</v>
      </c>
      <c r="G12" s="3" t="s">
        <v>88</v>
      </c>
    </row>
    <row r="13" spans="1:7" ht="255" x14ac:dyDescent="0.2">
      <c r="A13" s="3" t="s">
        <v>49</v>
      </c>
      <c r="B13" s="3" t="s">
        <v>48</v>
      </c>
      <c r="C13" s="9" t="s">
        <v>22</v>
      </c>
      <c r="D13" s="9" t="s">
        <v>3</v>
      </c>
      <c r="E13" s="9">
        <v>5</v>
      </c>
      <c r="F13" s="9">
        <v>12</v>
      </c>
      <c r="G13" s="3" t="s">
        <v>90</v>
      </c>
    </row>
    <row r="14" spans="1:7" ht="255" x14ac:dyDescent="0.2">
      <c r="A14" s="3" t="s">
        <v>71</v>
      </c>
      <c r="B14" s="3" t="s">
        <v>72</v>
      </c>
      <c r="C14" s="9" t="s">
        <v>14</v>
      </c>
      <c r="D14" s="9" t="s">
        <v>3</v>
      </c>
      <c r="E14" s="9">
        <v>3</v>
      </c>
      <c r="F14" s="9">
        <v>12</v>
      </c>
      <c r="G14" s="3" t="s">
        <v>87</v>
      </c>
    </row>
    <row r="15" spans="1:7" ht="255" x14ac:dyDescent="0.2">
      <c r="A15" s="3" t="s">
        <v>47</v>
      </c>
      <c r="B15" s="3" t="s">
        <v>48</v>
      </c>
      <c r="C15" s="9" t="s">
        <v>15</v>
      </c>
      <c r="D15" s="9" t="s">
        <v>3</v>
      </c>
      <c r="E15" s="9">
        <v>3</v>
      </c>
      <c r="F15" s="9">
        <v>12</v>
      </c>
      <c r="G15" s="3" t="s">
        <v>87</v>
      </c>
    </row>
    <row r="16" spans="1:7" ht="255" x14ac:dyDescent="0.2">
      <c r="A16" s="3" t="s">
        <v>59</v>
      </c>
      <c r="B16" s="3" t="s">
        <v>60</v>
      </c>
      <c r="C16" s="9" t="s">
        <v>16</v>
      </c>
      <c r="D16" s="9" t="s">
        <v>3</v>
      </c>
      <c r="E16" s="9">
        <v>5</v>
      </c>
      <c r="F16" s="9">
        <v>14</v>
      </c>
      <c r="G16" s="3" t="s">
        <v>88</v>
      </c>
    </row>
    <row r="17" spans="1:7" ht="255" x14ac:dyDescent="0.2">
      <c r="A17" s="3" t="s">
        <v>73</v>
      </c>
      <c r="B17" s="3" t="s">
        <v>60</v>
      </c>
      <c r="C17" s="9" t="s">
        <v>17</v>
      </c>
      <c r="D17" s="9" t="s">
        <v>3</v>
      </c>
      <c r="E17" s="9">
        <v>3</v>
      </c>
      <c r="F17" s="9">
        <v>12</v>
      </c>
      <c r="G17" s="3" t="s">
        <v>87</v>
      </c>
    </row>
    <row r="18" spans="1:7" ht="255" x14ac:dyDescent="0.2">
      <c r="A18" s="3" t="s">
        <v>63</v>
      </c>
      <c r="B18" s="3" t="s">
        <v>62</v>
      </c>
      <c r="C18" s="9" t="s">
        <v>18</v>
      </c>
      <c r="D18" s="9" t="s">
        <v>3</v>
      </c>
      <c r="E18" s="9">
        <v>3</v>
      </c>
      <c r="F18" s="9">
        <v>11</v>
      </c>
      <c r="G18" s="3" t="s">
        <v>87</v>
      </c>
    </row>
    <row r="19" spans="1:7" ht="255" x14ac:dyDescent="0.2">
      <c r="A19" s="3" t="s">
        <v>64</v>
      </c>
      <c r="B19" s="3" t="s">
        <v>62</v>
      </c>
      <c r="C19" s="9" t="s">
        <v>19</v>
      </c>
      <c r="D19" s="9" t="s">
        <v>3</v>
      </c>
      <c r="E19" s="9">
        <v>3</v>
      </c>
      <c r="F19" s="9">
        <v>12</v>
      </c>
      <c r="G19" s="3" t="s">
        <v>87</v>
      </c>
    </row>
    <row r="20" spans="1:7" ht="255" x14ac:dyDescent="0.2">
      <c r="A20" s="5" t="s">
        <v>74</v>
      </c>
      <c r="B20" s="5" t="s">
        <v>55</v>
      </c>
      <c r="C20" s="9" t="s">
        <v>20</v>
      </c>
      <c r="D20" s="9" t="s">
        <v>3</v>
      </c>
      <c r="E20" s="9">
        <v>4</v>
      </c>
      <c r="F20" s="9">
        <v>12</v>
      </c>
      <c r="G20" s="3" t="s">
        <v>86</v>
      </c>
    </row>
    <row r="21" spans="1:7" ht="255" x14ac:dyDescent="0.2">
      <c r="A21" s="3" t="s">
        <v>75</v>
      </c>
      <c r="B21" s="3" t="s">
        <v>76</v>
      </c>
      <c r="C21" s="9" t="s">
        <v>21</v>
      </c>
      <c r="D21" s="9" t="s">
        <v>3</v>
      </c>
      <c r="E21" s="9">
        <v>4</v>
      </c>
      <c r="F21" s="9">
        <v>12</v>
      </c>
      <c r="G21" s="3" t="s">
        <v>86</v>
      </c>
    </row>
    <row r="22" spans="1:7" ht="255" x14ac:dyDescent="0.2">
      <c r="A22" s="3" t="s">
        <v>54</v>
      </c>
      <c r="B22" s="3" t="s">
        <v>55</v>
      </c>
      <c r="C22" s="9" t="s">
        <v>101</v>
      </c>
      <c r="D22" s="9" t="s">
        <v>3</v>
      </c>
      <c r="E22" s="9">
        <v>3</v>
      </c>
      <c r="F22" s="9">
        <v>12</v>
      </c>
      <c r="G22" s="3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E9AE-7517-9946-9C02-5494B805FE02}">
  <dimension ref="A1:G22"/>
  <sheetViews>
    <sheetView topLeftCell="A21" workbookViewId="0">
      <selection activeCell="C22" sqref="C22"/>
    </sheetView>
  </sheetViews>
  <sheetFormatPr baseColWidth="10" defaultRowHeight="16" x14ac:dyDescent="0.2"/>
  <cols>
    <col min="1" max="1" width="23.1640625" customWidth="1"/>
    <col min="3" max="3" width="18.1640625" customWidth="1"/>
    <col min="5" max="5" width="28.33203125" customWidth="1"/>
    <col min="7" max="7" width="43.1640625" style="1" customWidth="1"/>
  </cols>
  <sheetData>
    <row r="1" spans="1:7" ht="51" x14ac:dyDescent="0.2">
      <c r="A1" s="7" t="s">
        <v>45</v>
      </c>
      <c r="B1" s="7" t="s">
        <v>46</v>
      </c>
      <c r="C1" s="8" t="s">
        <v>0</v>
      </c>
      <c r="D1" s="8" t="s">
        <v>1</v>
      </c>
      <c r="E1" s="8" t="s">
        <v>100</v>
      </c>
      <c r="F1" s="7" t="s">
        <v>85</v>
      </c>
      <c r="G1" s="7" t="s">
        <v>77</v>
      </c>
    </row>
    <row r="2" spans="1:7" ht="289" x14ac:dyDescent="0.2">
      <c r="A2" s="3" t="s">
        <v>69</v>
      </c>
      <c r="B2" s="3" t="s">
        <v>50</v>
      </c>
      <c r="C2" s="9" t="s">
        <v>2</v>
      </c>
      <c r="D2" s="9" t="s">
        <v>23</v>
      </c>
      <c r="E2" s="9">
        <v>2</v>
      </c>
      <c r="F2" s="9">
        <v>4</v>
      </c>
      <c r="G2" s="3" t="s">
        <v>92</v>
      </c>
    </row>
    <row r="3" spans="1:7" ht="289" x14ac:dyDescent="0.2">
      <c r="A3" s="3" t="s">
        <v>68</v>
      </c>
      <c r="B3" s="3" t="s">
        <v>55</v>
      </c>
      <c r="C3" s="9" t="s">
        <v>4</v>
      </c>
      <c r="D3" s="9" t="s">
        <v>23</v>
      </c>
      <c r="E3" s="9">
        <v>2</v>
      </c>
      <c r="F3" s="9">
        <v>4</v>
      </c>
      <c r="G3" s="3" t="s">
        <v>92</v>
      </c>
    </row>
    <row r="4" spans="1:7" ht="289" x14ac:dyDescent="0.2">
      <c r="A4" s="3" t="s">
        <v>65</v>
      </c>
      <c r="B4" s="3" t="s">
        <v>55</v>
      </c>
      <c r="C4" s="9" t="s">
        <v>5</v>
      </c>
      <c r="D4" s="9" t="s">
        <v>23</v>
      </c>
      <c r="E4" s="9">
        <v>2</v>
      </c>
      <c r="F4" s="9">
        <v>4</v>
      </c>
      <c r="G4" s="3" t="s">
        <v>92</v>
      </c>
    </row>
    <row r="5" spans="1:7" ht="289" x14ac:dyDescent="0.2">
      <c r="A5" s="3" t="s">
        <v>70</v>
      </c>
      <c r="B5" s="3" t="s">
        <v>66</v>
      </c>
      <c r="C5" s="9" t="s">
        <v>6</v>
      </c>
      <c r="D5" s="9" t="s">
        <v>23</v>
      </c>
      <c r="E5" s="9">
        <v>2</v>
      </c>
      <c r="F5" s="9">
        <v>6</v>
      </c>
      <c r="G5" s="3" t="s">
        <v>92</v>
      </c>
    </row>
    <row r="6" spans="1:7" ht="289" x14ac:dyDescent="0.2">
      <c r="A6" s="3" t="s">
        <v>67</v>
      </c>
      <c r="B6" s="3" t="s">
        <v>66</v>
      </c>
      <c r="C6" s="9" t="s">
        <v>7</v>
      </c>
      <c r="D6" s="9" t="s">
        <v>23</v>
      </c>
      <c r="E6" s="9">
        <v>2</v>
      </c>
      <c r="F6" s="9">
        <v>4</v>
      </c>
      <c r="G6" s="3" t="s">
        <v>93</v>
      </c>
    </row>
    <row r="7" spans="1:7" ht="289" x14ac:dyDescent="0.2">
      <c r="A7" s="3" t="s">
        <v>52</v>
      </c>
      <c r="B7" s="3" t="s">
        <v>53</v>
      </c>
      <c r="C7" s="9" t="s">
        <v>8</v>
      </c>
      <c r="D7" s="9" t="s">
        <v>23</v>
      </c>
      <c r="E7" s="9">
        <v>2</v>
      </c>
      <c r="F7" s="9">
        <v>4</v>
      </c>
      <c r="G7" s="3" t="s">
        <v>92</v>
      </c>
    </row>
    <row r="8" spans="1:7" ht="289" x14ac:dyDescent="0.2">
      <c r="A8" s="3" t="s">
        <v>57</v>
      </c>
      <c r="B8" s="3" t="s">
        <v>53</v>
      </c>
      <c r="C8" s="9" t="s">
        <v>9</v>
      </c>
      <c r="D8" s="9" t="s">
        <v>23</v>
      </c>
      <c r="E8" s="9">
        <v>2</v>
      </c>
      <c r="F8" s="9">
        <v>6</v>
      </c>
      <c r="G8" s="3" t="s">
        <v>92</v>
      </c>
    </row>
    <row r="9" spans="1:7" ht="289" x14ac:dyDescent="0.2">
      <c r="A9" s="3" t="s">
        <v>51</v>
      </c>
      <c r="B9" s="3" t="s">
        <v>48</v>
      </c>
      <c r="C9" s="9" t="s">
        <v>10</v>
      </c>
      <c r="D9" s="9" t="s">
        <v>23</v>
      </c>
      <c r="E9" s="9">
        <v>2</v>
      </c>
      <c r="F9" s="9">
        <v>4</v>
      </c>
      <c r="G9" s="3" t="s">
        <v>92</v>
      </c>
    </row>
    <row r="10" spans="1:7" ht="289" x14ac:dyDescent="0.2">
      <c r="A10" s="3" t="s">
        <v>58</v>
      </c>
      <c r="B10" s="3" t="s">
        <v>53</v>
      </c>
      <c r="C10" s="9" t="s">
        <v>11</v>
      </c>
      <c r="D10" s="9" t="s">
        <v>23</v>
      </c>
      <c r="E10" s="9">
        <v>2</v>
      </c>
      <c r="F10" s="9">
        <v>4</v>
      </c>
      <c r="G10" s="3" t="s">
        <v>92</v>
      </c>
    </row>
    <row r="11" spans="1:7" ht="289" x14ac:dyDescent="0.2">
      <c r="A11" s="3" t="s">
        <v>56</v>
      </c>
      <c r="B11" s="3" t="s">
        <v>55</v>
      </c>
      <c r="C11" s="9" t="s">
        <v>12</v>
      </c>
      <c r="D11" s="9" t="s">
        <v>23</v>
      </c>
      <c r="E11" s="9">
        <v>2</v>
      </c>
      <c r="F11" s="9">
        <v>4</v>
      </c>
      <c r="G11" s="3" t="s">
        <v>92</v>
      </c>
    </row>
    <row r="12" spans="1:7" ht="289" x14ac:dyDescent="0.2">
      <c r="A12" s="3" t="s">
        <v>61</v>
      </c>
      <c r="B12" s="3" t="s">
        <v>55</v>
      </c>
      <c r="C12" s="9" t="s">
        <v>13</v>
      </c>
      <c r="D12" s="9" t="s">
        <v>23</v>
      </c>
      <c r="E12" s="9">
        <v>3</v>
      </c>
      <c r="F12" s="9">
        <v>5</v>
      </c>
      <c r="G12" s="3" t="s">
        <v>94</v>
      </c>
    </row>
    <row r="13" spans="1:7" ht="289" x14ac:dyDescent="0.2">
      <c r="A13" s="3" t="s">
        <v>49</v>
      </c>
      <c r="B13" s="3" t="s">
        <v>48</v>
      </c>
      <c r="C13" s="9" t="s">
        <v>22</v>
      </c>
      <c r="D13" s="9" t="s">
        <v>23</v>
      </c>
      <c r="E13" s="9">
        <v>4</v>
      </c>
      <c r="F13" s="9">
        <v>7</v>
      </c>
      <c r="G13" s="3" t="s">
        <v>95</v>
      </c>
    </row>
    <row r="14" spans="1:7" ht="289" x14ac:dyDescent="0.2">
      <c r="A14" s="3" t="s">
        <v>71</v>
      </c>
      <c r="B14" s="3" t="s">
        <v>72</v>
      </c>
      <c r="C14" s="9" t="s">
        <v>14</v>
      </c>
      <c r="D14" s="9" t="s">
        <v>23</v>
      </c>
      <c r="E14" s="9">
        <v>3</v>
      </c>
      <c r="F14" s="9">
        <v>5</v>
      </c>
      <c r="G14" s="3" t="s">
        <v>94</v>
      </c>
    </row>
    <row r="15" spans="1:7" ht="289" x14ac:dyDescent="0.2">
      <c r="A15" s="3" t="s">
        <v>47</v>
      </c>
      <c r="B15" s="3" t="s">
        <v>48</v>
      </c>
      <c r="C15" s="9" t="s">
        <v>15</v>
      </c>
      <c r="D15" s="9" t="s">
        <v>23</v>
      </c>
      <c r="E15" s="9">
        <v>3</v>
      </c>
      <c r="F15" s="9">
        <v>5</v>
      </c>
      <c r="G15" s="3" t="s">
        <v>94</v>
      </c>
    </row>
    <row r="16" spans="1:7" ht="289" x14ac:dyDescent="0.2">
      <c r="A16" s="3" t="s">
        <v>59</v>
      </c>
      <c r="B16" s="3" t="s">
        <v>60</v>
      </c>
      <c r="C16" s="9" t="s">
        <v>16</v>
      </c>
      <c r="D16" s="9" t="s">
        <v>23</v>
      </c>
      <c r="E16" s="9">
        <v>3</v>
      </c>
      <c r="F16" s="9">
        <v>5</v>
      </c>
      <c r="G16" s="3" t="s">
        <v>94</v>
      </c>
    </row>
    <row r="17" spans="1:7" ht="289" x14ac:dyDescent="0.2">
      <c r="A17" s="3" t="s">
        <v>73</v>
      </c>
      <c r="B17" s="3" t="s">
        <v>60</v>
      </c>
      <c r="C17" s="9" t="s">
        <v>17</v>
      </c>
      <c r="D17" s="9" t="s">
        <v>23</v>
      </c>
      <c r="E17" s="9">
        <v>3</v>
      </c>
      <c r="F17" s="9">
        <v>5</v>
      </c>
      <c r="G17" s="3" t="s">
        <v>94</v>
      </c>
    </row>
    <row r="18" spans="1:7" ht="289" x14ac:dyDescent="0.2">
      <c r="A18" s="3" t="s">
        <v>63</v>
      </c>
      <c r="B18" s="3" t="s">
        <v>62</v>
      </c>
      <c r="C18" s="9" t="s">
        <v>18</v>
      </c>
      <c r="D18" s="9" t="s">
        <v>23</v>
      </c>
      <c r="E18" s="9">
        <v>2</v>
      </c>
      <c r="F18" s="9">
        <v>3</v>
      </c>
      <c r="G18" s="3" t="s">
        <v>96</v>
      </c>
    </row>
    <row r="19" spans="1:7" ht="289" x14ac:dyDescent="0.2">
      <c r="A19" s="3" t="s">
        <v>64</v>
      </c>
      <c r="B19" s="3" t="s">
        <v>62</v>
      </c>
      <c r="C19" s="9" t="s">
        <v>19</v>
      </c>
      <c r="D19" s="9" t="s">
        <v>23</v>
      </c>
      <c r="E19" s="9">
        <v>3</v>
      </c>
      <c r="F19" s="9">
        <v>5</v>
      </c>
      <c r="G19" s="3" t="s">
        <v>94</v>
      </c>
    </row>
    <row r="20" spans="1:7" ht="289" x14ac:dyDescent="0.2">
      <c r="A20" s="5" t="s">
        <v>74</v>
      </c>
      <c r="B20" s="5" t="s">
        <v>55</v>
      </c>
      <c r="C20" s="9" t="s">
        <v>20</v>
      </c>
      <c r="D20" s="9" t="s">
        <v>23</v>
      </c>
      <c r="E20" s="9">
        <v>3</v>
      </c>
      <c r="F20" s="9">
        <v>5</v>
      </c>
      <c r="G20" s="3" t="s">
        <v>94</v>
      </c>
    </row>
    <row r="21" spans="1:7" ht="289" x14ac:dyDescent="0.2">
      <c r="A21" s="3" t="s">
        <v>75</v>
      </c>
      <c r="B21" s="3" t="s">
        <v>76</v>
      </c>
      <c r="C21" s="9" t="s">
        <v>21</v>
      </c>
      <c r="D21" s="9" t="s">
        <v>23</v>
      </c>
      <c r="E21" s="9">
        <v>3</v>
      </c>
      <c r="F21" s="9">
        <v>5</v>
      </c>
      <c r="G21" s="3" t="s">
        <v>94</v>
      </c>
    </row>
    <row r="22" spans="1:7" ht="289" x14ac:dyDescent="0.2">
      <c r="A22" s="3" t="s">
        <v>54</v>
      </c>
      <c r="B22" s="3" t="s">
        <v>55</v>
      </c>
      <c r="C22" s="9" t="s">
        <v>101</v>
      </c>
      <c r="D22" s="9" t="s">
        <v>23</v>
      </c>
      <c r="E22" s="9">
        <v>3</v>
      </c>
      <c r="F22" s="9">
        <v>5</v>
      </c>
      <c r="G22" s="3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BCD5F-BA1E-3843-A3BD-1A7D1897ABC7}">
  <dimension ref="A1:F22"/>
  <sheetViews>
    <sheetView topLeftCell="A14" workbookViewId="0">
      <selection activeCell="E22" sqref="E22"/>
    </sheetView>
  </sheetViews>
  <sheetFormatPr baseColWidth="10" defaultRowHeight="16" x14ac:dyDescent="0.2"/>
  <cols>
    <col min="1" max="1" width="25.33203125" customWidth="1"/>
    <col min="2" max="2" width="24.1640625" customWidth="1"/>
    <col min="3" max="3" width="17.1640625" customWidth="1"/>
    <col min="5" max="5" width="31.6640625" customWidth="1"/>
    <col min="6" max="6" width="20.5" style="12" customWidth="1"/>
  </cols>
  <sheetData>
    <row r="1" spans="1:6" ht="17" x14ac:dyDescent="0.2">
      <c r="A1" s="2" t="s">
        <v>45</v>
      </c>
      <c r="B1" s="2" t="s">
        <v>46</v>
      </c>
      <c r="C1" s="2" t="s">
        <v>0</v>
      </c>
      <c r="D1" s="2" t="s">
        <v>1</v>
      </c>
      <c r="E1" s="2" t="s">
        <v>97</v>
      </c>
      <c r="F1" s="10" t="s">
        <v>98</v>
      </c>
    </row>
    <row r="2" spans="1:6" ht="51" x14ac:dyDescent="0.2">
      <c r="A2" s="3" t="s">
        <v>69</v>
      </c>
      <c r="B2" s="3" t="s">
        <v>50</v>
      </c>
      <c r="C2" s="6"/>
      <c r="D2" s="6"/>
      <c r="E2" s="6">
        <f>SUM('MOD-1'!F2, 'MOD-2'!F2, 'MOD-3'!F2)</f>
        <v>23</v>
      </c>
      <c r="F2" s="11">
        <f>(E2/75)*100</f>
        <v>30.666666666666664</v>
      </c>
    </row>
    <row r="3" spans="1:6" ht="51" x14ac:dyDescent="0.2">
      <c r="A3" s="3" t="s">
        <v>68</v>
      </c>
      <c r="B3" s="3" t="s">
        <v>55</v>
      </c>
      <c r="C3" s="6"/>
      <c r="D3" s="6"/>
      <c r="E3" s="6">
        <f>SUM('MOD-1'!F3, 'MOD-2'!F3, 'MOD-3'!F3)</f>
        <v>23</v>
      </c>
      <c r="F3" s="11">
        <f t="shared" ref="F3:F22" si="0">(E3/75)*100</f>
        <v>30.666666666666664</v>
      </c>
    </row>
    <row r="4" spans="1:6" ht="68" x14ac:dyDescent="0.2">
      <c r="A4" s="3" t="s">
        <v>65</v>
      </c>
      <c r="B4" s="3" t="s">
        <v>55</v>
      </c>
      <c r="C4" s="6"/>
      <c r="D4" s="6"/>
      <c r="E4" s="6">
        <f>SUM('MOD-1'!F4, 'MOD-2'!F4, 'MOD-3'!F4)</f>
        <v>23</v>
      </c>
      <c r="F4" s="11">
        <f t="shared" si="0"/>
        <v>30.666666666666664</v>
      </c>
    </row>
    <row r="5" spans="1:6" ht="68" x14ac:dyDescent="0.2">
      <c r="A5" s="3" t="s">
        <v>70</v>
      </c>
      <c r="B5" s="3" t="s">
        <v>66</v>
      </c>
      <c r="C5" s="6"/>
      <c r="D5" s="6"/>
      <c r="E5" s="6">
        <f>SUM('MOD-1'!F5, 'MOD-2'!F5, 'MOD-3'!F5)</f>
        <v>22</v>
      </c>
      <c r="F5" s="11">
        <f t="shared" si="0"/>
        <v>29.333333333333332</v>
      </c>
    </row>
    <row r="6" spans="1:6" ht="68" x14ac:dyDescent="0.2">
      <c r="A6" s="3" t="s">
        <v>67</v>
      </c>
      <c r="B6" s="3" t="s">
        <v>66</v>
      </c>
      <c r="C6" s="6"/>
      <c r="D6" s="6"/>
      <c r="E6" s="6">
        <f>SUM('MOD-1'!F6, 'MOD-2'!F6, 'MOD-3'!F6)</f>
        <v>22</v>
      </c>
      <c r="F6" s="11">
        <f t="shared" si="0"/>
        <v>29.333333333333332</v>
      </c>
    </row>
    <row r="7" spans="1:6" ht="51" x14ac:dyDescent="0.2">
      <c r="A7" s="3" t="s">
        <v>52</v>
      </c>
      <c r="B7" s="3" t="s">
        <v>53</v>
      </c>
      <c r="C7" s="6"/>
      <c r="D7" s="6"/>
      <c r="E7" s="6">
        <f>SUM('MOD-1'!F7, 'MOD-2'!F7, 'MOD-3'!F7)</f>
        <v>24</v>
      </c>
      <c r="F7" s="11">
        <f t="shared" si="0"/>
        <v>32</v>
      </c>
    </row>
    <row r="8" spans="1:6" ht="68" x14ac:dyDescent="0.2">
      <c r="A8" s="3" t="s">
        <v>57</v>
      </c>
      <c r="B8" s="3" t="s">
        <v>53</v>
      </c>
      <c r="C8" s="6"/>
      <c r="D8" s="6"/>
      <c r="E8" s="6">
        <f>SUM('MOD-1'!F8, 'MOD-2'!F8, 'MOD-3'!F8)</f>
        <v>27</v>
      </c>
      <c r="F8" s="11">
        <f t="shared" si="0"/>
        <v>36</v>
      </c>
    </row>
    <row r="9" spans="1:6" ht="68" x14ac:dyDescent="0.2">
      <c r="A9" s="3" t="s">
        <v>51</v>
      </c>
      <c r="B9" s="3" t="s">
        <v>48</v>
      </c>
      <c r="C9" s="6"/>
      <c r="D9" s="6"/>
      <c r="E9" s="6">
        <f>SUM('MOD-1'!F9, 'MOD-2'!F9, 'MOD-3'!F9)</f>
        <v>19</v>
      </c>
      <c r="F9" s="11">
        <f t="shared" si="0"/>
        <v>25.333333333333336</v>
      </c>
    </row>
    <row r="10" spans="1:6" ht="68" x14ac:dyDescent="0.2">
      <c r="A10" s="3" t="s">
        <v>58</v>
      </c>
      <c r="B10" s="3" t="s">
        <v>53</v>
      </c>
      <c r="C10" s="6"/>
      <c r="D10" s="6"/>
      <c r="E10" s="6">
        <f>SUM('MOD-1'!F10, 'MOD-2'!F10, 'MOD-3'!F10)</f>
        <v>24</v>
      </c>
      <c r="F10" s="11">
        <f t="shared" si="0"/>
        <v>32</v>
      </c>
    </row>
    <row r="11" spans="1:6" ht="68" x14ac:dyDescent="0.2">
      <c r="A11" s="3" t="s">
        <v>56</v>
      </c>
      <c r="B11" s="3" t="s">
        <v>55</v>
      </c>
      <c r="C11" s="6"/>
      <c r="D11" s="6"/>
      <c r="E11" s="6">
        <f>SUM('MOD-1'!F11, 'MOD-2'!F11, 'MOD-3'!F11)</f>
        <v>24</v>
      </c>
      <c r="F11" s="11">
        <f t="shared" si="0"/>
        <v>32</v>
      </c>
    </row>
    <row r="12" spans="1:6" ht="51" x14ac:dyDescent="0.2">
      <c r="A12" s="3" t="s">
        <v>61</v>
      </c>
      <c r="B12" s="3" t="s">
        <v>55</v>
      </c>
      <c r="C12" s="6"/>
      <c r="D12" s="6"/>
      <c r="E12" s="6">
        <f>SUM('MOD-1'!F12, 'MOD-2'!F12, 'MOD-3'!F12)</f>
        <v>27</v>
      </c>
      <c r="F12" s="11">
        <f t="shared" si="0"/>
        <v>36</v>
      </c>
    </row>
    <row r="13" spans="1:6" ht="68" x14ac:dyDescent="0.2">
      <c r="A13" s="3" t="s">
        <v>49</v>
      </c>
      <c r="B13" s="3" t="s">
        <v>48</v>
      </c>
      <c r="C13" s="6"/>
      <c r="D13" s="6"/>
      <c r="E13" s="6">
        <f>SUM('MOD-1'!F13, 'MOD-2'!F13, 'MOD-3'!F13)</f>
        <v>30</v>
      </c>
      <c r="F13" s="11">
        <f t="shared" si="0"/>
        <v>40</v>
      </c>
    </row>
    <row r="14" spans="1:6" ht="51" x14ac:dyDescent="0.2">
      <c r="A14" s="3" t="s">
        <v>71</v>
      </c>
      <c r="B14" s="3" t="s">
        <v>72</v>
      </c>
      <c r="C14" s="6"/>
      <c r="D14" s="6"/>
      <c r="E14" s="6">
        <f>SUM('MOD-1'!F14, 'MOD-2'!F14, 'MOD-3'!F14)</f>
        <v>24</v>
      </c>
      <c r="F14" s="11">
        <f t="shared" si="0"/>
        <v>32</v>
      </c>
    </row>
    <row r="15" spans="1:6" ht="51" x14ac:dyDescent="0.2">
      <c r="A15" s="3" t="s">
        <v>47</v>
      </c>
      <c r="B15" s="3" t="s">
        <v>48</v>
      </c>
      <c r="C15" s="6"/>
      <c r="D15" s="6"/>
      <c r="E15" s="6">
        <f>SUM('MOD-1'!F15, 'MOD-2'!F15, 'MOD-3'!F15)</f>
        <v>24</v>
      </c>
      <c r="F15" s="11">
        <f t="shared" si="0"/>
        <v>32</v>
      </c>
    </row>
    <row r="16" spans="1:6" ht="51" x14ac:dyDescent="0.2">
      <c r="A16" s="3" t="s">
        <v>59</v>
      </c>
      <c r="B16" s="3" t="s">
        <v>60</v>
      </c>
      <c r="C16" s="6"/>
      <c r="D16" s="6"/>
      <c r="E16" s="6">
        <f>SUM('MOD-1'!F16, 'MOD-2'!F16, 'MOD-3'!F16)</f>
        <v>27</v>
      </c>
      <c r="F16" s="11">
        <f t="shared" si="0"/>
        <v>36</v>
      </c>
    </row>
    <row r="17" spans="1:6" ht="51" x14ac:dyDescent="0.2">
      <c r="A17" s="3" t="s">
        <v>73</v>
      </c>
      <c r="B17" s="3" t="s">
        <v>60</v>
      </c>
      <c r="C17" s="6"/>
      <c r="D17" s="6"/>
      <c r="E17" s="6">
        <f>SUM('MOD-1'!F17, 'MOD-2'!F17, 'MOD-3'!F17)</f>
        <v>21</v>
      </c>
      <c r="F17" s="11">
        <f t="shared" si="0"/>
        <v>28.000000000000004</v>
      </c>
    </row>
    <row r="18" spans="1:6" ht="51" x14ac:dyDescent="0.2">
      <c r="A18" s="3" t="s">
        <v>63</v>
      </c>
      <c r="B18" s="3" t="s">
        <v>62</v>
      </c>
      <c r="C18" s="6"/>
      <c r="D18" s="6"/>
      <c r="E18" s="6">
        <f>SUM('MOD-1'!F18, 'MOD-2'!F18, 'MOD-3'!F18)</f>
        <v>14</v>
      </c>
      <c r="F18" s="11">
        <f t="shared" si="0"/>
        <v>18.666666666666668</v>
      </c>
    </row>
    <row r="19" spans="1:6" ht="51" x14ac:dyDescent="0.2">
      <c r="A19" s="3" t="s">
        <v>64</v>
      </c>
      <c r="B19" s="3" t="s">
        <v>62</v>
      </c>
      <c r="C19" s="6"/>
      <c r="D19" s="6"/>
      <c r="E19" s="6">
        <f>SUM('MOD-1'!F19, 'MOD-2'!F19, 'MOD-3'!F19)</f>
        <v>24</v>
      </c>
      <c r="F19" s="11">
        <f t="shared" si="0"/>
        <v>32</v>
      </c>
    </row>
    <row r="20" spans="1:6" ht="51" x14ac:dyDescent="0.2">
      <c r="A20" s="13" t="s">
        <v>74</v>
      </c>
      <c r="B20" s="13" t="s">
        <v>55</v>
      </c>
      <c r="C20" s="6"/>
      <c r="D20" s="6"/>
      <c r="E20" s="6">
        <f>SUM('MOD-1'!F20, 'MOD-2'!F20, 'MOD-3'!F20)</f>
        <v>26</v>
      </c>
      <c r="F20" s="11">
        <f t="shared" si="0"/>
        <v>34.666666666666671</v>
      </c>
    </row>
    <row r="21" spans="1:6" ht="68" x14ac:dyDescent="0.2">
      <c r="A21" s="14" t="s">
        <v>75</v>
      </c>
      <c r="B21" s="14" t="s">
        <v>76</v>
      </c>
      <c r="C21" s="6"/>
      <c r="D21" s="6"/>
      <c r="E21" s="6">
        <f>SUM('MOD-1'!F21, 'MOD-2'!F21, 'MOD-3'!F21)</f>
        <v>34</v>
      </c>
      <c r="F21" s="11">
        <f t="shared" si="0"/>
        <v>45.333333333333329</v>
      </c>
    </row>
    <row r="22" spans="1:6" ht="51" x14ac:dyDescent="0.2">
      <c r="A22" s="3" t="s">
        <v>54</v>
      </c>
      <c r="B22" s="3" t="s">
        <v>55</v>
      </c>
      <c r="C22" s="6"/>
      <c r="D22" s="6"/>
      <c r="E22" s="6">
        <f>SUM('MOD-1'!F22, 'MOD-2'!F22, 'MOD-3'!F22)</f>
        <v>24</v>
      </c>
      <c r="F22" s="11">
        <f t="shared" si="0"/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MOD-1</vt:lpstr>
      <vt:lpstr>MOD-2</vt:lpstr>
      <vt:lpstr>MOD-3</vt:lpstr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2026-02-26T17:41:21Z</dcterms:created>
  <dcterms:modified xsi:type="dcterms:W3CDTF">2026-02-27T12:17:56Z</dcterms:modified>
</cp:coreProperties>
</file>